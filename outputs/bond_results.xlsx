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VCB\202607\vcb-snh\outputs\"/>
    </mc:Choice>
  </mc:AlternateContent>
  <xr:revisionPtr revIDLastSave="0" documentId="13_ncr:1_{6DB5C1AB-BA30-4341-94CB-06A84A982F9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Sheet1!$A$1:$E$99</definedName>
  </definedNames>
  <calcPr calcId="191029"/>
</workbook>
</file>

<file path=xl/calcChain.xml><?xml version="1.0" encoding="utf-8"?>
<calcChain xmlns="http://schemas.openxmlformats.org/spreadsheetml/2006/main">
  <c r="K5" i="1" l="1"/>
  <c r="J4" i="1"/>
  <c r="O15" i="1"/>
  <c r="N15" i="1"/>
  <c r="M15" i="1"/>
  <c r="L15" i="1"/>
  <c r="K15" i="1"/>
  <c r="J15" i="1"/>
  <c r="I15" i="1"/>
  <c r="O14" i="1"/>
  <c r="N14" i="1"/>
  <c r="M14" i="1"/>
  <c r="L14" i="1"/>
  <c r="K14" i="1"/>
  <c r="J14" i="1"/>
  <c r="I14" i="1"/>
  <c r="O13" i="1"/>
  <c r="N13" i="1"/>
  <c r="M13" i="1"/>
  <c r="L13" i="1"/>
  <c r="K13" i="1"/>
  <c r="J13" i="1"/>
  <c r="I13" i="1"/>
  <c r="O12" i="1"/>
  <c r="N12" i="1"/>
  <c r="M12" i="1"/>
  <c r="L12" i="1"/>
  <c r="K12" i="1"/>
  <c r="J12" i="1"/>
  <c r="I12" i="1"/>
  <c r="O11" i="1"/>
  <c r="N11" i="1"/>
  <c r="M11" i="1"/>
  <c r="L11" i="1"/>
  <c r="K11" i="1"/>
  <c r="J11" i="1"/>
  <c r="I11" i="1"/>
  <c r="O10" i="1"/>
  <c r="N10" i="1"/>
  <c r="M10" i="1"/>
  <c r="L10" i="1"/>
  <c r="K10" i="1"/>
  <c r="J10" i="1"/>
  <c r="I10" i="1"/>
  <c r="O9" i="1"/>
  <c r="N9" i="1"/>
  <c r="M9" i="1"/>
  <c r="L9" i="1"/>
  <c r="K9" i="1"/>
  <c r="J9" i="1"/>
  <c r="I9" i="1"/>
  <c r="O8" i="1"/>
  <c r="N8" i="1"/>
  <c r="M8" i="1"/>
  <c r="L8" i="1"/>
  <c r="K8" i="1"/>
  <c r="J8" i="1"/>
  <c r="I8" i="1"/>
  <c r="O7" i="1"/>
  <c r="N7" i="1"/>
  <c r="M7" i="1"/>
  <c r="L7" i="1"/>
  <c r="K7" i="1"/>
  <c r="J7" i="1"/>
  <c r="I7" i="1"/>
  <c r="O6" i="1"/>
  <c r="N6" i="1"/>
  <c r="M6" i="1"/>
  <c r="L6" i="1"/>
  <c r="K6" i="1"/>
  <c r="J6" i="1"/>
  <c r="I6" i="1"/>
  <c r="O5" i="1"/>
  <c r="N5" i="1"/>
  <c r="M5" i="1"/>
  <c r="L5" i="1"/>
  <c r="J5" i="1"/>
  <c r="I5" i="1"/>
  <c r="O4" i="1"/>
  <c r="N4" i="1"/>
  <c r="M4" i="1"/>
  <c r="L4" i="1"/>
  <c r="K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  <c r="I2" i="1"/>
  <c r="L16" i="1" l="1"/>
  <c r="J16" i="1"/>
  <c r="N16" i="1"/>
  <c r="P2" i="1"/>
  <c r="P7" i="1"/>
  <c r="P15" i="1"/>
  <c r="P6" i="1"/>
  <c r="K16" i="1"/>
  <c r="P13" i="1"/>
  <c r="M16" i="1"/>
  <c r="P5" i="1"/>
  <c r="P12" i="1"/>
  <c r="P11" i="1"/>
  <c r="O16" i="1"/>
  <c r="P4" i="1"/>
  <c r="P10" i="1"/>
  <c r="P14" i="1"/>
  <c r="P3" i="1"/>
  <c r="P9" i="1"/>
  <c r="P8" i="1"/>
  <c r="I16" i="1"/>
  <c r="P16" i="1" l="1"/>
</calcChain>
</file>

<file path=xl/sharedStrings.xml><?xml version="1.0" encoding="utf-8"?>
<sst xmlns="http://schemas.openxmlformats.org/spreadsheetml/2006/main" count="215" uniqueCount="26">
  <si>
    <t>bond_id</t>
  </si>
  <si>
    <t>full_price</t>
  </si>
  <si>
    <t>straight_price</t>
  </si>
  <si>
    <t>diff</t>
  </si>
  <si>
    <t>shock</t>
  </si>
  <si>
    <t>VIBL2431010 (new_1)</t>
  </si>
  <si>
    <t>0</t>
  </si>
  <si>
    <t>HDBL2427028_new1</t>
  </si>
  <si>
    <t>CTG12506_new</t>
  </si>
  <si>
    <t>AGRIBANK253501_newest</t>
  </si>
  <si>
    <t>VIB12503_NEW1</t>
  </si>
  <si>
    <t>CTG12502 (new)</t>
  </si>
  <si>
    <t>VPB12517</t>
  </si>
  <si>
    <t>VBA12503</t>
  </si>
  <si>
    <t>HDBC8Y253302</t>
  </si>
  <si>
    <t>BID12513_new2</t>
  </si>
  <si>
    <t>VPB12509_new_1</t>
  </si>
  <si>
    <t>VPB12504 (new_1)</t>
  </si>
  <si>
    <t>VPBB2427001_new (Roll 1)_1</t>
  </si>
  <si>
    <t>VBA12505</t>
  </si>
  <si>
    <t>1</t>
  </si>
  <si>
    <t>2</t>
  </si>
  <si>
    <t>3</t>
  </si>
  <si>
    <t>4</t>
  </si>
  <si>
    <t>5</t>
  </si>
  <si>
    <t>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</si>
</sst>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9"/>
  <sheetViews>
    <sheetView tabSelected="1" workbookViewId="0">
      <selection activeCell="H1" sqref="H1"/>
    </sheetView>
  </sheetViews>
  <sheetFormatPr defaultRowHeight="15" x14ac:dyDescent="0.25"/>
  <cols>
    <col min="1" max="1" width="26.85546875" bestFit="1" customWidth="1"/>
    <col min="2" max="2" width="12" bestFit="1" customWidth="1"/>
    <col min="3" max="3" width="13.28515625" bestFit="1" customWidth="1"/>
    <col min="4" max="4" width="12.7109375" bestFit="1" customWidth="1"/>
    <col min="5" max="5" width="6" bestFit="1" customWidth="1"/>
    <col min="8" max="8" width="26.8554687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H1">
        <v>11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</row>
    <row r="2" spans="1:16" x14ac:dyDescent="0.25">
      <c r="A2" t="s">
        <v>5</v>
      </c>
      <c r="B2">
        <v>102.968914404157</v>
      </c>
      <c r="C2">
        <v>108.12807746136831</v>
      </c>
      <c r="D2">
        <v>-5.1591630572113161</v>
      </c>
      <c r="E2" t="s">
        <v>6</v>
      </c>
      <c r="H2" t="s">
        <v>5</v>
      </c>
      <c r="I2">
        <f>COUNTIFS($D:$D,"&lt;"&amp;-$H$1,$E:$E,I$1,$A:$A,$H2)+COUNTIFS($D:$D,"&gt;"&amp;$H$1,$E:$E,I$1,$A:$A,$H2)</f>
        <v>0</v>
      </c>
      <c r="J2">
        <f t="shared" ref="J2:O15" si="0">COUNTIFS($D:$D,"&lt;"&amp;-$H$1,$E:$E,J$1,$A:$A,$H2)+COUNTIFS($D:$D,"&gt;"&amp;$H$1,$E:$E,J$1,$A:$A,$H2)</f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1</v>
      </c>
      <c r="P2">
        <f>SUM(I2:O2)</f>
        <v>1</v>
      </c>
    </row>
    <row r="3" spans="1:16" x14ac:dyDescent="0.25">
      <c r="A3" t="s">
        <v>7</v>
      </c>
      <c r="B3">
        <v>100.2123195796628</v>
      </c>
      <c r="C3">
        <v>99.111475827695614</v>
      </c>
      <c r="D3">
        <v>1.100843751967219</v>
      </c>
      <c r="E3" t="s">
        <v>6</v>
      </c>
      <c r="H3" t="s">
        <v>7</v>
      </c>
      <c r="I3">
        <f t="shared" ref="I3:I15" si="1">COUNTIFS($D:$D,"&lt;"&amp;-$H$1,$E:$E,I$1,$A:$A,$H3)+COUNTIFS($D:$D,"&gt;"&amp;$H$1,$E:$E,I$1,$A:$A,$H3)</f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ref="P3:P15" si="2">SUM(I3:O3)</f>
        <v>0</v>
      </c>
    </row>
    <row r="4" spans="1:16" x14ac:dyDescent="0.25">
      <c r="A4" t="s">
        <v>8</v>
      </c>
      <c r="B4">
        <v>98.902639799254899</v>
      </c>
      <c r="C4">
        <v>102.50874672040079</v>
      </c>
      <c r="D4">
        <v>-3.6061069211459369</v>
      </c>
      <c r="E4" t="s">
        <v>6</v>
      </c>
      <c r="H4" t="s">
        <v>8</v>
      </c>
      <c r="I4">
        <f t="shared" si="1"/>
        <v>0</v>
      </c>
      <c r="J4">
        <f>COUNTIFS($D:$D,"&lt;"&amp;-$H$1,$E:$E,J$1,$A:$A,$H4)+COUNTIFS($D:$D,"&gt;"&amp;$H$1,$E:$E,J$1,$A:$A,$H4)</f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1</v>
      </c>
      <c r="P4">
        <f t="shared" si="2"/>
        <v>1</v>
      </c>
    </row>
    <row r="5" spans="1:16" x14ac:dyDescent="0.25">
      <c r="A5" t="s">
        <v>9</v>
      </c>
      <c r="B5">
        <v>101.0264000096052</v>
      </c>
      <c r="C5">
        <v>105.616259627258</v>
      </c>
      <c r="D5">
        <v>-4.5898596176528059</v>
      </c>
      <c r="E5" t="s">
        <v>6</v>
      </c>
      <c r="H5" t="s">
        <v>9</v>
      </c>
      <c r="I5">
        <f t="shared" si="1"/>
        <v>0</v>
      </c>
      <c r="J5">
        <f t="shared" si="0"/>
        <v>0</v>
      </c>
      <c r="K5">
        <f>COUNTIFS($D:$D,"&lt;"&amp;-$H$1,$E:$E,K$1,$A:$A,$H5)+COUNTIFS($D:$D,"&gt;"&amp;$H$1,$E:$E,K$1,$A:$A,$H5)</f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1</v>
      </c>
      <c r="P5">
        <f t="shared" si="2"/>
        <v>1</v>
      </c>
    </row>
    <row r="6" spans="1:16" x14ac:dyDescent="0.25">
      <c r="A6" t="s">
        <v>10</v>
      </c>
      <c r="B6">
        <v>99.996212300142091</v>
      </c>
      <c r="C6">
        <v>98.721868086124857</v>
      </c>
      <c r="D6">
        <v>1.274344214017233</v>
      </c>
      <c r="E6" t="s">
        <v>6</v>
      </c>
      <c r="H6" t="s">
        <v>10</v>
      </c>
      <c r="I6">
        <f t="shared" si="1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2"/>
        <v>0</v>
      </c>
    </row>
    <row r="7" spans="1:16" x14ac:dyDescent="0.25">
      <c r="A7" t="s">
        <v>11</v>
      </c>
      <c r="B7">
        <v>97.891449207236434</v>
      </c>
      <c r="C7">
        <v>101.21413152436909</v>
      </c>
      <c r="D7">
        <v>-3.3226823171327031</v>
      </c>
      <c r="E7" t="s">
        <v>6</v>
      </c>
      <c r="H7" t="s">
        <v>11</v>
      </c>
      <c r="I7">
        <f t="shared" si="1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1</v>
      </c>
      <c r="P7">
        <f t="shared" si="2"/>
        <v>1</v>
      </c>
    </row>
    <row r="8" spans="1:16" x14ac:dyDescent="0.25">
      <c r="A8" t="s">
        <v>12</v>
      </c>
      <c r="B8">
        <v>100.6369308061329</v>
      </c>
      <c r="C8">
        <v>100.9452593232684</v>
      </c>
      <c r="D8">
        <v>-0.30832851713549297</v>
      </c>
      <c r="E8" t="s">
        <v>6</v>
      </c>
      <c r="H8" t="s">
        <v>12</v>
      </c>
      <c r="I8">
        <f t="shared" si="1"/>
        <v>0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2"/>
        <v>0</v>
      </c>
    </row>
    <row r="9" spans="1:16" x14ac:dyDescent="0.25">
      <c r="A9" t="s">
        <v>13</v>
      </c>
      <c r="B9">
        <v>99.410165288861037</v>
      </c>
      <c r="C9">
        <v>99.410165288861037</v>
      </c>
      <c r="D9">
        <v>0</v>
      </c>
      <c r="E9" t="s">
        <v>6</v>
      </c>
      <c r="H9" t="s">
        <v>13</v>
      </c>
      <c r="I9">
        <f t="shared" si="1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2"/>
        <v>0</v>
      </c>
    </row>
    <row r="10" spans="1:16" x14ac:dyDescent="0.25">
      <c r="A10" t="s">
        <v>14</v>
      </c>
      <c r="B10">
        <v>99.740077708358626</v>
      </c>
      <c r="C10">
        <v>102.6981924028391</v>
      </c>
      <c r="D10">
        <v>-2.9581146944804999</v>
      </c>
      <c r="E10" t="s">
        <v>6</v>
      </c>
      <c r="H10" t="s">
        <v>14</v>
      </c>
      <c r="I10">
        <f t="shared" si="1"/>
        <v>0</v>
      </c>
      <c r="J10">
        <f t="shared" si="0"/>
        <v>0</v>
      </c>
      <c r="K10">
        <f t="shared" si="0"/>
        <v>0</v>
      </c>
      <c r="L10">
        <f t="shared" si="0"/>
        <v>0</v>
      </c>
      <c r="M10">
        <f t="shared" si="0"/>
        <v>0</v>
      </c>
      <c r="N10">
        <f t="shared" si="0"/>
        <v>0</v>
      </c>
      <c r="O10">
        <f t="shared" si="0"/>
        <v>1</v>
      </c>
      <c r="P10">
        <f t="shared" si="2"/>
        <v>1</v>
      </c>
    </row>
    <row r="11" spans="1:16" x14ac:dyDescent="0.25">
      <c r="A11" t="s">
        <v>15</v>
      </c>
      <c r="B11">
        <v>99.194896633421507</v>
      </c>
      <c r="C11">
        <v>102.9371330692998</v>
      </c>
      <c r="D11">
        <v>-3.7422364358782692</v>
      </c>
      <c r="E11" t="s">
        <v>6</v>
      </c>
      <c r="H11" t="s">
        <v>15</v>
      </c>
      <c r="I11">
        <f t="shared" si="1"/>
        <v>0</v>
      </c>
      <c r="J11">
        <f t="shared" si="0"/>
        <v>0</v>
      </c>
      <c r="K11">
        <f t="shared" si="0"/>
        <v>0</v>
      </c>
      <c r="L11">
        <f t="shared" si="0"/>
        <v>0</v>
      </c>
      <c r="M11">
        <f t="shared" si="0"/>
        <v>0</v>
      </c>
      <c r="N11">
        <f t="shared" si="0"/>
        <v>0</v>
      </c>
      <c r="O11">
        <f t="shared" si="0"/>
        <v>1</v>
      </c>
      <c r="P11">
        <f t="shared" si="2"/>
        <v>1</v>
      </c>
    </row>
    <row r="12" spans="1:16" x14ac:dyDescent="0.25">
      <c r="A12" t="s">
        <v>16</v>
      </c>
      <c r="B12">
        <v>99.75046632936531</v>
      </c>
      <c r="C12">
        <v>98.592452754167709</v>
      </c>
      <c r="D12">
        <v>1.1580135751976</v>
      </c>
      <c r="E12" t="s">
        <v>6</v>
      </c>
      <c r="H12" t="s">
        <v>16</v>
      </c>
      <c r="I12">
        <f t="shared" si="1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0"/>
        <v>0</v>
      </c>
      <c r="N12">
        <f t="shared" si="0"/>
        <v>0</v>
      </c>
      <c r="O12">
        <f t="shared" si="0"/>
        <v>0</v>
      </c>
      <c r="P12">
        <f t="shared" si="2"/>
        <v>0</v>
      </c>
    </row>
    <row r="13" spans="1:16" x14ac:dyDescent="0.25">
      <c r="A13" t="s">
        <v>17</v>
      </c>
      <c r="B13">
        <v>99.715453430374822</v>
      </c>
      <c r="C13">
        <v>98.551471737259376</v>
      </c>
      <c r="D13">
        <v>1.1639816931154461</v>
      </c>
      <c r="E13" t="s">
        <v>6</v>
      </c>
      <c r="H13" t="s">
        <v>17</v>
      </c>
      <c r="I13">
        <f t="shared" si="1"/>
        <v>0</v>
      </c>
      <c r="J13">
        <f t="shared" si="0"/>
        <v>0</v>
      </c>
      <c r="K13">
        <f t="shared" si="0"/>
        <v>0</v>
      </c>
      <c r="L13">
        <f t="shared" si="0"/>
        <v>0</v>
      </c>
      <c r="M13">
        <f t="shared" si="0"/>
        <v>0</v>
      </c>
      <c r="N13">
        <f t="shared" si="0"/>
        <v>0</v>
      </c>
      <c r="O13">
        <f t="shared" si="0"/>
        <v>0</v>
      </c>
      <c r="P13">
        <f t="shared" si="2"/>
        <v>0</v>
      </c>
    </row>
    <row r="14" spans="1:16" x14ac:dyDescent="0.25">
      <c r="A14" t="s">
        <v>18</v>
      </c>
      <c r="B14">
        <v>100.1880306491426</v>
      </c>
      <c r="C14">
        <v>94.899691734319902</v>
      </c>
      <c r="D14">
        <v>5.2883389148227451</v>
      </c>
      <c r="E14" t="s">
        <v>6</v>
      </c>
      <c r="H14" t="s">
        <v>18</v>
      </c>
      <c r="I14">
        <f t="shared" si="1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2"/>
        <v>0</v>
      </c>
    </row>
    <row r="15" spans="1:16" x14ac:dyDescent="0.25">
      <c r="A15" t="s">
        <v>19</v>
      </c>
      <c r="B15">
        <v>97.070301553649145</v>
      </c>
      <c r="C15">
        <v>97.059524734915612</v>
      </c>
      <c r="D15">
        <v>1.0776818733532419E-2</v>
      </c>
      <c r="E15" t="s">
        <v>6</v>
      </c>
      <c r="H15" t="s">
        <v>19</v>
      </c>
      <c r="I15">
        <f t="shared" si="1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2"/>
        <v>0</v>
      </c>
    </row>
    <row r="16" spans="1:16" x14ac:dyDescent="0.25">
      <c r="A16" t="s">
        <v>5</v>
      </c>
      <c r="B16">
        <v>100.2423714312685</v>
      </c>
      <c r="C16">
        <v>102.31595740444931</v>
      </c>
      <c r="D16">
        <v>-2.0735859731807982</v>
      </c>
      <c r="E16" t="s">
        <v>20</v>
      </c>
      <c r="I16">
        <f>SUM(I2:I15)</f>
        <v>0</v>
      </c>
      <c r="J16">
        <f t="shared" ref="J16:O16" si="3">SUM(J2:J15)</f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6</v>
      </c>
      <c r="P16">
        <f>SUM(P2:P15)</f>
        <v>6</v>
      </c>
    </row>
    <row r="17" spans="1:5" x14ac:dyDescent="0.25">
      <c r="A17" t="s">
        <v>7</v>
      </c>
      <c r="B17">
        <v>93.702672964694912</v>
      </c>
      <c r="C17">
        <v>89.337571951017679</v>
      </c>
      <c r="D17">
        <v>4.3651010136772328</v>
      </c>
      <c r="E17" t="s">
        <v>20</v>
      </c>
    </row>
    <row r="18" spans="1:5" x14ac:dyDescent="0.25">
      <c r="A18" t="s">
        <v>8</v>
      </c>
      <c r="B18">
        <v>95.151689992028039</v>
      </c>
      <c r="C18">
        <v>96.782592137362258</v>
      </c>
      <c r="D18">
        <v>-1.6309021453342181</v>
      </c>
      <c r="E18" t="s">
        <v>20</v>
      </c>
    </row>
    <row r="19" spans="1:5" x14ac:dyDescent="0.25">
      <c r="A19" t="s">
        <v>9</v>
      </c>
      <c r="B19">
        <v>97.314852235849543</v>
      </c>
      <c r="C19">
        <v>98.440050189460507</v>
      </c>
      <c r="D19">
        <v>-1.125197953610964</v>
      </c>
      <c r="E19" t="s">
        <v>20</v>
      </c>
    </row>
    <row r="20" spans="1:5" x14ac:dyDescent="0.25">
      <c r="A20" t="s">
        <v>10</v>
      </c>
      <c r="B20">
        <v>96.76451683866398</v>
      </c>
      <c r="C20">
        <v>88.968688047945818</v>
      </c>
      <c r="D20">
        <v>7.7958287907181614</v>
      </c>
      <c r="E20" t="s">
        <v>20</v>
      </c>
    </row>
    <row r="21" spans="1:5" x14ac:dyDescent="0.25">
      <c r="A21" t="s">
        <v>11</v>
      </c>
      <c r="B21">
        <v>94.160227732485779</v>
      </c>
      <c r="C21">
        <v>95.623086415057386</v>
      </c>
      <c r="D21">
        <v>-1.462858682571607</v>
      </c>
      <c r="E21" t="s">
        <v>20</v>
      </c>
    </row>
    <row r="22" spans="1:5" x14ac:dyDescent="0.25">
      <c r="A22" t="s">
        <v>12</v>
      </c>
      <c r="B22">
        <v>97.384528489462312</v>
      </c>
      <c r="C22">
        <v>94.445181164599163</v>
      </c>
      <c r="D22">
        <v>2.939347324863149</v>
      </c>
      <c r="E22" t="s">
        <v>20</v>
      </c>
    </row>
    <row r="23" spans="1:5" x14ac:dyDescent="0.25">
      <c r="A23" t="s">
        <v>13</v>
      </c>
      <c r="B23">
        <v>92.938044623897881</v>
      </c>
      <c r="C23">
        <v>92.938044623897881</v>
      </c>
      <c r="D23">
        <v>0</v>
      </c>
      <c r="E23" t="s">
        <v>20</v>
      </c>
    </row>
    <row r="24" spans="1:5" x14ac:dyDescent="0.25">
      <c r="A24" t="s">
        <v>14</v>
      </c>
      <c r="B24">
        <v>95.863825916740694</v>
      </c>
      <c r="C24">
        <v>97.184457792322803</v>
      </c>
      <c r="D24">
        <v>-1.3206318755821089</v>
      </c>
      <c r="E24" t="s">
        <v>20</v>
      </c>
    </row>
    <row r="25" spans="1:5" x14ac:dyDescent="0.25">
      <c r="A25" t="s">
        <v>15</v>
      </c>
      <c r="B25">
        <v>96.026848635579981</v>
      </c>
      <c r="C25">
        <v>97.859767755052971</v>
      </c>
      <c r="D25">
        <v>-1.8329191194729899</v>
      </c>
      <c r="E25" t="s">
        <v>20</v>
      </c>
    </row>
    <row r="26" spans="1:5" x14ac:dyDescent="0.25">
      <c r="A26" t="s">
        <v>16</v>
      </c>
      <c r="B26">
        <v>93.262103439715972</v>
      </c>
      <c r="C26">
        <v>88.834777087153967</v>
      </c>
      <c r="D26">
        <v>4.4273263525620052</v>
      </c>
      <c r="E26" t="s">
        <v>20</v>
      </c>
    </row>
    <row r="27" spans="1:5" x14ac:dyDescent="0.25">
      <c r="A27" t="s">
        <v>17</v>
      </c>
      <c r="B27">
        <v>93.229359461916488</v>
      </c>
      <c r="C27">
        <v>88.789876593425092</v>
      </c>
      <c r="D27">
        <v>4.4394828684913961</v>
      </c>
      <c r="E27" t="s">
        <v>20</v>
      </c>
    </row>
    <row r="28" spans="1:5" x14ac:dyDescent="0.25">
      <c r="A28" t="s">
        <v>18</v>
      </c>
      <c r="B28">
        <v>96.950135967977744</v>
      </c>
      <c r="C28">
        <v>88.755605612034188</v>
      </c>
      <c r="D28">
        <v>8.1945303559435558</v>
      </c>
      <c r="E28" t="s">
        <v>20</v>
      </c>
    </row>
    <row r="29" spans="1:5" x14ac:dyDescent="0.25">
      <c r="A29" t="s">
        <v>19</v>
      </c>
      <c r="B29">
        <v>90.761231954054239</v>
      </c>
      <c r="C29">
        <v>90.732365461322715</v>
      </c>
      <c r="D29">
        <v>2.8866492731523859E-2</v>
      </c>
      <c r="E29" t="s">
        <v>20</v>
      </c>
    </row>
    <row r="30" spans="1:5" x14ac:dyDescent="0.25">
      <c r="A30" t="s">
        <v>5</v>
      </c>
      <c r="B30">
        <v>104.54495708796679</v>
      </c>
      <c r="C30">
        <v>115.3935619994961</v>
      </c>
      <c r="D30">
        <v>-10.848604911529289</v>
      </c>
      <c r="E30" t="s">
        <v>21</v>
      </c>
    </row>
    <row r="31" spans="1:5" x14ac:dyDescent="0.25">
      <c r="A31" t="s">
        <v>7</v>
      </c>
      <c r="B31">
        <v>107.18141755174049</v>
      </c>
      <c r="C31">
        <v>109.9959688194584</v>
      </c>
      <c r="D31">
        <v>-2.8145512677178601</v>
      </c>
      <c r="E31" t="s">
        <v>21</v>
      </c>
    </row>
    <row r="32" spans="1:5" x14ac:dyDescent="0.25">
      <c r="A32" t="s">
        <v>8</v>
      </c>
      <c r="B32">
        <v>101.997278679662</v>
      </c>
      <c r="C32">
        <v>109.96158777814701</v>
      </c>
      <c r="D32">
        <v>-7.9643090984850176</v>
      </c>
      <c r="E32" t="s">
        <v>21</v>
      </c>
    </row>
    <row r="33" spans="1:5" x14ac:dyDescent="0.25">
      <c r="A33" t="s">
        <v>9</v>
      </c>
      <c r="B33">
        <v>105.3834743329075</v>
      </c>
      <c r="C33">
        <v>115.52633786857901</v>
      </c>
      <c r="D33">
        <v>-10.14286353567152</v>
      </c>
      <c r="E33" t="s">
        <v>21</v>
      </c>
    </row>
    <row r="34" spans="1:5" x14ac:dyDescent="0.25">
      <c r="A34" t="s">
        <v>10</v>
      </c>
      <c r="B34">
        <v>103.33583839463471</v>
      </c>
      <c r="C34">
        <v>109.58488575241751</v>
      </c>
      <c r="D34">
        <v>-6.249047357782743</v>
      </c>
      <c r="E34" t="s">
        <v>21</v>
      </c>
    </row>
    <row r="35" spans="1:5" x14ac:dyDescent="0.25">
      <c r="A35" t="s">
        <v>11</v>
      </c>
      <c r="B35">
        <v>100.9720171644491</v>
      </c>
      <c r="C35">
        <v>108.51352222537101</v>
      </c>
      <c r="D35">
        <v>-7.541505060921935</v>
      </c>
      <c r="E35" t="s">
        <v>21</v>
      </c>
    </row>
    <row r="36" spans="1:5" x14ac:dyDescent="0.25">
      <c r="A36" t="s">
        <v>12</v>
      </c>
      <c r="B36">
        <v>103.9979553135515</v>
      </c>
      <c r="C36">
        <v>107.90200841591501</v>
      </c>
      <c r="D36">
        <v>-3.9040531023635339</v>
      </c>
      <c r="E36" t="s">
        <v>21</v>
      </c>
    </row>
    <row r="37" spans="1:5" x14ac:dyDescent="0.25">
      <c r="A37" t="s">
        <v>13</v>
      </c>
      <c r="B37">
        <v>106.33962552731801</v>
      </c>
      <c r="C37">
        <v>106.33962552731801</v>
      </c>
      <c r="D37">
        <v>0</v>
      </c>
      <c r="E37" t="s">
        <v>21</v>
      </c>
    </row>
    <row r="38" spans="1:5" x14ac:dyDescent="0.25">
      <c r="A38" t="s">
        <v>14</v>
      </c>
      <c r="B38">
        <v>103.0485401027759</v>
      </c>
      <c r="C38">
        <v>109.8489797682677</v>
      </c>
      <c r="D38">
        <v>-6.8004396654917372</v>
      </c>
      <c r="E38" t="s">
        <v>21</v>
      </c>
    </row>
    <row r="39" spans="1:5" x14ac:dyDescent="0.25">
      <c r="A39" t="s">
        <v>15</v>
      </c>
      <c r="B39">
        <v>101.9817367509058</v>
      </c>
      <c r="C39">
        <v>109.9308061682021</v>
      </c>
      <c r="D39">
        <v>-7.9490694172962444</v>
      </c>
      <c r="E39" t="s">
        <v>21</v>
      </c>
    </row>
    <row r="40" spans="1:5" x14ac:dyDescent="0.25">
      <c r="A40" t="s">
        <v>16</v>
      </c>
      <c r="B40">
        <v>106.69709931184271</v>
      </c>
      <c r="C40">
        <v>109.4614118872185</v>
      </c>
      <c r="D40">
        <v>-2.7643125753757971</v>
      </c>
      <c r="E40" t="s">
        <v>21</v>
      </c>
    </row>
    <row r="41" spans="1:5" x14ac:dyDescent="0.25">
      <c r="A41" t="s">
        <v>17</v>
      </c>
      <c r="B41">
        <v>106.6596575522571</v>
      </c>
      <c r="C41">
        <v>109.4258625964665</v>
      </c>
      <c r="D41">
        <v>-2.7662050442093862</v>
      </c>
      <c r="E41" t="s">
        <v>21</v>
      </c>
    </row>
    <row r="42" spans="1:5" x14ac:dyDescent="0.25">
      <c r="A42" t="s">
        <v>18</v>
      </c>
      <c r="B42">
        <v>103.53406300192241</v>
      </c>
      <c r="C42">
        <v>101.4759801592288</v>
      </c>
      <c r="D42">
        <v>2.058082842693608</v>
      </c>
      <c r="E42" t="s">
        <v>21</v>
      </c>
    </row>
    <row r="43" spans="1:5" x14ac:dyDescent="0.25">
      <c r="A43" t="s">
        <v>19</v>
      </c>
      <c r="B43">
        <v>103.82479550377811</v>
      </c>
      <c r="C43">
        <v>103.8348517896124</v>
      </c>
      <c r="D43">
        <v>-1.00562858342812E-2</v>
      </c>
      <c r="E43" t="s">
        <v>21</v>
      </c>
    </row>
    <row r="44" spans="1:5" x14ac:dyDescent="0.25">
      <c r="A44" t="s">
        <v>5</v>
      </c>
      <c r="B44">
        <v>102.7530788471765</v>
      </c>
      <c r="C44">
        <v>113.69942314132059</v>
      </c>
      <c r="D44">
        <v>-10.94634429414403</v>
      </c>
      <c r="E44" t="s">
        <v>22</v>
      </c>
    </row>
    <row r="45" spans="1:5" x14ac:dyDescent="0.25">
      <c r="A45" t="s">
        <v>7</v>
      </c>
      <c r="B45">
        <v>102.4549391739713</v>
      </c>
      <c r="C45">
        <v>100.32170323639809</v>
      </c>
      <c r="D45">
        <v>2.1332359375731329</v>
      </c>
      <c r="E45" t="s">
        <v>22</v>
      </c>
    </row>
    <row r="46" spans="1:5" x14ac:dyDescent="0.25">
      <c r="A46" t="s">
        <v>8</v>
      </c>
      <c r="B46">
        <v>98.639566407522722</v>
      </c>
      <c r="C46">
        <v>108.77038756293619</v>
      </c>
      <c r="D46">
        <v>-10.13082115541347</v>
      </c>
      <c r="E46" t="s">
        <v>22</v>
      </c>
    </row>
    <row r="47" spans="1:5" x14ac:dyDescent="0.25">
      <c r="A47" t="s">
        <v>9</v>
      </c>
      <c r="B47">
        <v>104.87802637279221</v>
      </c>
      <c r="C47">
        <v>113.3802598134055</v>
      </c>
      <c r="D47">
        <v>-8.5022334406132956</v>
      </c>
      <c r="E47" t="s">
        <v>22</v>
      </c>
    </row>
    <row r="48" spans="1:5" x14ac:dyDescent="0.25">
      <c r="A48" t="s">
        <v>10</v>
      </c>
      <c r="B48">
        <v>101.9346420867324</v>
      </c>
      <c r="C48">
        <v>99.926497965819081</v>
      </c>
      <c r="D48">
        <v>2.0081441209133</v>
      </c>
      <c r="E48" t="s">
        <v>22</v>
      </c>
    </row>
    <row r="49" spans="1:5" x14ac:dyDescent="0.25">
      <c r="A49" t="s">
        <v>11</v>
      </c>
      <c r="B49">
        <v>97.675388698913665</v>
      </c>
      <c r="C49">
        <v>107.4321734153113</v>
      </c>
      <c r="D49">
        <v>-9.7567847163976182</v>
      </c>
      <c r="E49" t="s">
        <v>22</v>
      </c>
    </row>
    <row r="50" spans="1:5" x14ac:dyDescent="0.25">
      <c r="A50" t="s">
        <v>12</v>
      </c>
      <c r="B50">
        <v>102.58778094153701</v>
      </c>
      <c r="C50">
        <v>103.19903688950249</v>
      </c>
      <c r="D50">
        <v>-0.61125594796553173</v>
      </c>
      <c r="E50" t="s">
        <v>22</v>
      </c>
    </row>
    <row r="51" spans="1:5" x14ac:dyDescent="0.25">
      <c r="A51" t="s">
        <v>13</v>
      </c>
      <c r="B51">
        <v>101.6361710252669</v>
      </c>
      <c r="C51">
        <v>101.6361710252669</v>
      </c>
      <c r="D51">
        <v>0</v>
      </c>
      <c r="E51" t="s">
        <v>22</v>
      </c>
    </row>
    <row r="52" spans="1:5" x14ac:dyDescent="0.25">
      <c r="A52" t="s">
        <v>14</v>
      </c>
      <c r="B52">
        <v>99.619800049632289</v>
      </c>
      <c r="C52">
        <v>108.9291670867852</v>
      </c>
      <c r="D52">
        <v>-9.3093670371528674</v>
      </c>
      <c r="E52" t="s">
        <v>22</v>
      </c>
    </row>
    <row r="53" spans="1:5" x14ac:dyDescent="0.25">
      <c r="A53" t="s">
        <v>15</v>
      </c>
      <c r="B53">
        <v>98.936671367160656</v>
      </c>
      <c r="C53">
        <v>109.2602018296231</v>
      </c>
      <c r="D53">
        <v>-10.32353046246247</v>
      </c>
      <c r="E53" t="s">
        <v>22</v>
      </c>
    </row>
    <row r="54" spans="1:5" x14ac:dyDescent="0.25">
      <c r="A54" t="s">
        <v>16</v>
      </c>
      <c r="B54">
        <v>101.9835498008396</v>
      </c>
      <c r="C54">
        <v>99.792499361370119</v>
      </c>
      <c r="D54">
        <v>2.1910504394694499</v>
      </c>
      <c r="E54" t="s">
        <v>22</v>
      </c>
    </row>
    <row r="55" spans="1:5" x14ac:dyDescent="0.25">
      <c r="A55" t="s">
        <v>17</v>
      </c>
      <c r="B55">
        <v>101.9477538606354</v>
      </c>
      <c r="C55">
        <v>99.751932990811611</v>
      </c>
      <c r="D55">
        <v>2.195820869823748</v>
      </c>
      <c r="E55" t="s">
        <v>22</v>
      </c>
    </row>
    <row r="56" spans="1:5" x14ac:dyDescent="0.25">
      <c r="A56" t="s">
        <v>18</v>
      </c>
      <c r="B56">
        <v>102.1301788405881</v>
      </c>
      <c r="C56">
        <v>97.025184092045507</v>
      </c>
      <c r="D56">
        <v>5.1049947485425946</v>
      </c>
      <c r="E56" t="s">
        <v>22</v>
      </c>
    </row>
    <row r="57" spans="1:5" x14ac:dyDescent="0.25">
      <c r="A57" t="s">
        <v>19</v>
      </c>
      <c r="B57">
        <v>99.24293012629623</v>
      </c>
      <c r="C57">
        <v>99.230393724967513</v>
      </c>
      <c r="D57">
        <v>1.253640132871681E-2</v>
      </c>
      <c r="E57" t="s">
        <v>22</v>
      </c>
    </row>
    <row r="58" spans="1:5" x14ac:dyDescent="0.25">
      <c r="A58" t="s">
        <v>5</v>
      </c>
      <c r="B58">
        <v>101.6643768117677</v>
      </c>
      <c r="C58">
        <v>102.1056472200877</v>
      </c>
      <c r="D58">
        <v>-0.44127040831997988</v>
      </c>
      <c r="E58" t="s">
        <v>23</v>
      </c>
    </row>
    <row r="59" spans="1:5" x14ac:dyDescent="0.25">
      <c r="A59" t="s">
        <v>7</v>
      </c>
      <c r="B59">
        <v>96.660931093613428</v>
      </c>
      <c r="C59">
        <v>95.879061015775662</v>
      </c>
      <c r="D59">
        <v>0.78187007783776608</v>
      </c>
      <c r="E59" t="s">
        <v>23</v>
      </c>
    </row>
    <row r="60" spans="1:5" x14ac:dyDescent="0.25">
      <c r="A60" t="s">
        <v>8</v>
      </c>
      <c r="B60">
        <v>96.018559071868452</v>
      </c>
      <c r="C60">
        <v>96.02367896899888</v>
      </c>
      <c r="D60">
        <v>-5.1198971304273746E-3</v>
      </c>
      <c r="E60" t="s">
        <v>23</v>
      </c>
    </row>
    <row r="61" spans="1:5" x14ac:dyDescent="0.25">
      <c r="A61" t="s">
        <v>9</v>
      </c>
      <c r="B61">
        <v>96.80607748715947</v>
      </c>
      <c r="C61">
        <v>97.754753768192529</v>
      </c>
      <c r="D61">
        <v>-0.9486762810330589</v>
      </c>
      <c r="E61" t="s">
        <v>23</v>
      </c>
    </row>
    <row r="62" spans="1:5" x14ac:dyDescent="0.25">
      <c r="A62" t="s">
        <v>10</v>
      </c>
      <c r="B62">
        <v>97.421075676163838</v>
      </c>
      <c r="C62">
        <v>95.499219563540279</v>
      </c>
      <c r="D62">
        <v>1.921856112623558</v>
      </c>
      <c r="E62" t="s">
        <v>23</v>
      </c>
    </row>
    <row r="63" spans="1:5" x14ac:dyDescent="0.25">
      <c r="A63" t="s">
        <v>11</v>
      </c>
      <c r="B63">
        <v>94.793917648978876</v>
      </c>
      <c r="C63">
        <v>94.793917648978876</v>
      </c>
      <c r="D63">
        <v>0</v>
      </c>
      <c r="E63" t="s">
        <v>23</v>
      </c>
    </row>
    <row r="64" spans="1:5" x14ac:dyDescent="0.25">
      <c r="A64" t="s">
        <v>12</v>
      </c>
      <c r="B64">
        <v>98.04529418027964</v>
      </c>
      <c r="C64">
        <v>97.384864837583294</v>
      </c>
      <c r="D64">
        <v>0.66042934269634657</v>
      </c>
      <c r="E64" t="s">
        <v>23</v>
      </c>
    </row>
    <row r="65" spans="1:5" x14ac:dyDescent="0.25">
      <c r="A65" t="s">
        <v>13</v>
      </c>
      <c r="B65">
        <v>95.882877079946041</v>
      </c>
      <c r="C65">
        <v>95.882877079946041</v>
      </c>
      <c r="D65">
        <v>0</v>
      </c>
      <c r="E65" t="s">
        <v>23</v>
      </c>
    </row>
    <row r="66" spans="1:5" x14ac:dyDescent="0.25">
      <c r="A66" t="s">
        <v>14</v>
      </c>
      <c r="B66">
        <v>96.2871421039425</v>
      </c>
      <c r="C66">
        <v>96.2871421039425</v>
      </c>
      <c r="D66">
        <v>0</v>
      </c>
      <c r="E66" t="s">
        <v>23</v>
      </c>
    </row>
    <row r="67" spans="1:5" x14ac:dyDescent="0.25">
      <c r="A67" t="s">
        <v>15</v>
      </c>
      <c r="B67">
        <v>96.527274570208874</v>
      </c>
      <c r="C67">
        <v>96.537220543862219</v>
      </c>
      <c r="D67">
        <v>-9.9459736533447085E-3</v>
      </c>
      <c r="E67" t="s">
        <v>23</v>
      </c>
    </row>
    <row r="68" spans="1:5" x14ac:dyDescent="0.25">
      <c r="A68" t="s">
        <v>16</v>
      </c>
      <c r="B68">
        <v>96.212858277833192</v>
      </c>
      <c r="C68">
        <v>95.373336249630327</v>
      </c>
      <c r="D68">
        <v>0.83952202820286459</v>
      </c>
      <c r="E68" t="s">
        <v>23</v>
      </c>
    </row>
    <row r="69" spans="1:5" x14ac:dyDescent="0.25">
      <c r="A69" t="s">
        <v>17</v>
      </c>
      <c r="B69">
        <v>96.179084566392703</v>
      </c>
      <c r="C69">
        <v>95.33108083848434</v>
      </c>
      <c r="D69">
        <v>0.8480037279083632</v>
      </c>
      <c r="E69" t="s">
        <v>23</v>
      </c>
    </row>
    <row r="70" spans="1:5" x14ac:dyDescent="0.25">
      <c r="A70" t="s">
        <v>18</v>
      </c>
      <c r="B70">
        <v>97.607954253504033</v>
      </c>
      <c r="C70">
        <v>91.539224298580976</v>
      </c>
      <c r="D70">
        <v>6.0687299549230573</v>
      </c>
      <c r="E70" t="s">
        <v>23</v>
      </c>
    </row>
    <row r="71" spans="1:5" x14ac:dyDescent="0.25">
      <c r="A71" t="s">
        <v>19</v>
      </c>
      <c r="B71">
        <v>93.629216169505057</v>
      </c>
      <c r="C71">
        <v>93.616286262027259</v>
      </c>
      <c r="D71">
        <v>1.292990747779754E-2</v>
      </c>
      <c r="E71" t="s">
        <v>23</v>
      </c>
    </row>
    <row r="72" spans="1:5" x14ac:dyDescent="0.25">
      <c r="A72" t="s">
        <v>5</v>
      </c>
      <c r="B72">
        <v>100.6340298449221</v>
      </c>
      <c r="C72">
        <v>100.72041216587741</v>
      </c>
      <c r="D72">
        <v>-8.6382320955308955E-2</v>
      </c>
      <c r="E72" t="s">
        <v>24</v>
      </c>
    </row>
    <row r="73" spans="1:5" x14ac:dyDescent="0.25">
      <c r="A73" t="s">
        <v>7</v>
      </c>
      <c r="B73">
        <v>94.550267233688288</v>
      </c>
      <c r="C73">
        <v>92.564228888091222</v>
      </c>
      <c r="D73">
        <v>1.986038345597066</v>
      </c>
      <c r="E73" t="s">
        <v>24</v>
      </c>
    </row>
    <row r="74" spans="1:5" x14ac:dyDescent="0.25">
      <c r="A74" t="s">
        <v>8</v>
      </c>
      <c r="B74">
        <v>94.753379132142371</v>
      </c>
      <c r="C74">
        <v>94.753379132142371</v>
      </c>
      <c r="D74">
        <v>0</v>
      </c>
      <c r="E74" t="s">
        <v>24</v>
      </c>
    </row>
    <row r="75" spans="1:5" x14ac:dyDescent="0.25">
      <c r="A75" t="s">
        <v>9</v>
      </c>
      <c r="B75">
        <v>95.962588002957403</v>
      </c>
      <c r="C75">
        <v>96.156198417108797</v>
      </c>
      <c r="D75">
        <v>-0.19361041415139371</v>
      </c>
      <c r="E75" t="s">
        <v>24</v>
      </c>
    </row>
    <row r="76" spans="1:5" x14ac:dyDescent="0.25">
      <c r="A76" t="s">
        <v>10</v>
      </c>
      <c r="B76">
        <v>96.436689276693613</v>
      </c>
      <c r="C76">
        <v>92.191193760117912</v>
      </c>
      <c r="D76">
        <v>4.2454955165757013</v>
      </c>
      <c r="E76" t="s">
        <v>24</v>
      </c>
    </row>
    <row r="77" spans="1:5" x14ac:dyDescent="0.25">
      <c r="A77" t="s">
        <v>11</v>
      </c>
      <c r="B77">
        <v>93.566814742988186</v>
      </c>
      <c r="C77">
        <v>93.566814742988186</v>
      </c>
      <c r="D77">
        <v>0</v>
      </c>
      <c r="E77" t="s">
        <v>24</v>
      </c>
    </row>
    <row r="78" spans="1:5" x14ac:dyDescent="0.25">
      <c r="A78" t="s">
        <v>12</v>
      </c>
      <c r="B78">
        <v>97.054600396072743</v>
      </c>
      <c r="C78">
        <v>95.278414914446159</v>
      </c>
      <c r="D78">
        <v>1.7761854816265841</v>
      </c>
      <c r="E78" t="s">
        <v>24</v>
      </c>
    </row>
    <row r="79" spans="1:5" x14ac:dyDescent="0.25">
      <c r="A79" t="s">
        <v>13</v>
      </c>
      <c r="B79">
        <v>93.784097061769103</v>
      </c>
      <c r="C79">
        <v>93.784097061769103</v>
      </c>
      <c r="D79">
        <v>0</v>
      </c>
      <c r="E79" t="s">
        <v>24</v>
      </c>
    </row>
    <row r="80" spans="1:5" x14ac:dyDescent="0.25">
      <c r="A80" t="s">
        <v>14</v>
      </c>
      <c r="B80">
        <v>95.088104527036478</v>
      </c>
      <c r="C80">
        <v>95.088104527036478</v>
      </c>
      <c r="D80">
        <v>0</v>
      </c>
      <c r="E80" t="s">
        <v>24</v>
      </c>
    </row>
    <row r="81" spans="1:5" x14ac:dyDescent="0.25">
      <c r="A81" t="s">
        <v>15</v>
      </c>
      <c r="B81">
        <v>95.481232318941252</v>
      </c>
      <c r="C81">
        <v>95.481232318941252</v>
      </c>
      <c r="D81">
        <v>0</v>
      </c>
      <c r="E81" t="s">
        <v>24</v>
      </c>
    </row>
    <row r="82" spans="1:5" x14ac:dyDescent="0.25">
      <c r="A82" t="s">
        <v>16</v>
      </c>
      <c r="B82">
        <v>94.108925914938069</v>
      </c>
      <c r="C82">
        <v>92.063425172903749</v>
      </c>
      <c r="D82">
        <v>2.0455007420343212</v>
      </c>
      <c r="E82" t="s">
        <v>24</v>
      </c>
    </row>
    <row r="83" spans="1:5" x14ac:dyDescent="0.25">
      <c r="A83" t="s">
        <v>17</v>
      </c>
      <c r="B83">
        <v>94.075887763904518</v>
      </c>
      <c r="C83">
        <v>92.019825465774488</v>
      </c>
      <c r="D83">
        <v>2.0560622981300298</v>
      </c>
      <c r="E83" t="s">
        <v>24</v>
      </c>
    </row>
    <row r="84" spans="1:5" x14ac:dyDescent="0.25">
      <c r="A84" t="s">
        <v>18</v>
      </c>
      <c r="B84">
        <v>96.621679548771198</v>
      </c>
      <c r="C84">
        <v>89.547830327393626</v>
      </c>
      <c r="D84">
        <v>7.0738492213775714</v>
      </c>
      <c r="E84" t="s">
        <v>24</v>
      </c>
    </row>
    <row r="85" spans="1:5" x14ac:dyDescent="0.25">
      <c r="A85" t="s">
        <v>19</v>
      </c>
      <c r="B85">
        <v>91.58351816218098</v>
      </c>
      <c r="C85">
        <v>91.564048575752267</v>
      </c>
      <c r="D85">
        <v>1.946958642871266E-2</v>
      </c>
      <c r="E85" t="s">
        <v>24</v>
      </c>
    </row>
    <row r="86" spans="1:5" x14ac:dyDescent="0.25">
      <c r="A86" t="s">
        <v>5</v>
      </c>
      <c r="B86">
        <v>103.7974500417039</v>
      </c>
      <c r="C86">
        <v>117.3543221899799</v>
      </c>
      <c r="D86">
        <v>-13.556872148275991</v>
      </c>
      <c r="E86" t="s">
        <v>25</v>
      </c>
    </row>
    <row r="87" spans="1:5" x14ac:dyDescent="0.25">
      <c r="A87" t="s">
        <v>7</v>
      </c>
      <c r="B87">
        <v>106.2163538259199</v>
      </c>
      <c r="C87">
        <v>106.128826006244</v>
      </c>
      <c r="D87">
        <v>8.7527819675941032E-2</v>
      </c>
      <c r="E87" t="s">
        <v>25</v>
      </c>
    </row>
    <row r="88" spans="1:5" x14ac:dyDescent="0.25">
      <c r="A88" t="s">
        <v>8</v>
      </c>
      <c r="B88">
        <v>100.1976044990359</v>
      </c>
      <c r="C88">
        <v>112.5405714542425</v>
      </c>
      <c r="D88">
        <v>-12.342966955206551</v>
      </c>
      <c r="E88" t="s">
        <v>25</v>
      </c>
    </row>
    <row r="89" spans="1:5" x14ac:dyDescent="0.25">
      <c r="A89" t="s">
        <v>9</v>
      </c>
      <c r="B89">
        <v>107.01656334567851</v>
      </c>
      <c r="C89">
        <v>118.5313706012282</v>
      </c>
      <c r="D89">
        <v>-11.514807255549769</v>
      </c>
      <c r="E89" t="s">
        <v>25</v>
      </c>
    </row>
    <row r="90" spans="1:5" x14ac:dyDescent="0.25">
      <c r="A90" t="s">
        <v>10</v>
      </c>
      <c r="B90">
        <v>103.6871189727961</v>
      </c>
      <c r="C90">
        <v>105.7220683398987</v>
      </c>
      <c r="D90">
        <v>-2.034949367102612</v>
      </c>
      <c r="E90" t="s">
        <v>25</v>
      </c>
    </row>
    <row r="91" spans="1:5" x14ac:dyDescent="0.25">
      <c r="A91" t="s">
        <v>11</v>
      </c>
      <c r="B91">
        <v>99.198816151775944</v>
      </c>
      <c r="C91">
        <v>111.1215417878728</v>
      </c>
      <c r="D91">
        <v>-11.922725636096899</v>
      </c>
      <c r="E91" t="s">
        <v>25</v>
      </c>
    </row>
    <row r="92" spans="1:5" x14ac:dyDescent="0.25">
      <c r="A92" t="s">
        <v>12</v>
      </c>
      <c r="B92">
        <v>104.3514866966388</v>
      </c>
      <c r="C92">
        <v>106.95291037826649</v>
      </c>
      <c r="D92">
        <v>-2.6014236816277219</v>
      </c>
      <c r="E92" t="s">
        <v>25</v>
      </c>
    </row>
    <row r="93" spans="1:5" x14ac:dyDescent="0.25">
      <c r="A93" t="s">
        <v>13</v>
      </c>
      <c r="B93">
        <v>105.3764155134501</v>
      </c>
      <c r="C93">
        <v>105.3764155134501</v>
      </c>
      <c r="D93">
        <v>0</v>
      </c>
      <c r="E93" t="s">
        <v>25</v>
      </c>
    </row>
    <row r="94" spans="1:5" x14ac:dyDescent="0.25">
      <c r="A94" t="s">
        <v>14</v>
      </c>
      <c r="B94">
        <v>101.2300766085104</v>
      </c>
      <c r="C94">
        <v>112.5437241635494</v>
      </c>
      <c r="D94">
        <v>-11.313647555038941</v>
      </c>
      <c r="E94" t="s">
        <v>25</v>
      </c>
    </row>
    <row r="95" spans="1:5" x14ac:dyDescent="0.25">
      <c r="A95" t="s">
        <v>15</v>
      </c>
      <c r="B95">
        <v>100.3068062157582</v>
      </c>
      <c r="C95">
        <v>112.7251980315036</v>
      </c>
      <c r="D95">
        <v>-12.41839181574532</v>
      </c>
      <c r="E95" t="s">
        <v>25</v>
      </c>
    </row>
    <row r="96" spans="1:5" x14ac:dyDescent="0.25">
      <c r="A96" t="s">
        <v>16</v>
      </c>
      <c r="B96">
        <v>105.7329730533817</v>
      </c>
      <c r="C96">
        <v>105.59121434479719</v>
      </c>
      <c r="D96">
        <v>0.14175870858454689</v>
      </c>
      <c r="E96" t="s">
        <v>25</v>
      </c>
    </row>
    <row r="97" spans="1:5" x14ac:dyDescent="0.25">
      <c r="A97" t="s">
        <v>17</v>
      </c>
      <c r="B97">
        <v>105.6958662737832</v>
      </c>
      <c r="C97">
        <v>105.553469957624</v>
      </c>
      <c r="D97">
        <v>0.142396316159207</v>
      </c>
      <c r="E97" t="s">
        <v>25</v>
      </c>
    </row>
    <row r="98" spans="1:5" x14ac:dyDescent="0.25">
      <c r="A98" t="s">
        <v>18</v>
      </c>
      <c r="B98">
        <v>103.88601742621231</v>
      </c>
      <c r="C98">
        <v>100.5741972193446</v>
      </c>
      <c r="D98">
        <v>3.311820206867722</v>
      </c>
      <c r="E98" t="s">
        <v>25</v>
      </c>
    </row>
    <row r="99" spans="1:5" x14ac:dyDescent="0.25">
      <c r="A99" t="s">
        <v>19</v>
      </c>
      <c r="B99">
        <v>102.8885710558969</v>
      </c>
      <c r="C99">
        <v>102.887625567334</v>
      </c>
      <c r="D99">
        <v>9.4548856290543881E-4</v>
      </c>
      <c r="E99" t="s">
        <v>25</v>
      </c>
    </row>
  </sheetData>
  <autoFilter ref="A1:E99" xr:uid="{00000000-0001-0000-0000-000000000000}"/>
  <conditionalFormatting sqref="I2:P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ignoredErrors>
    <ignoredError sqref="E2:E9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Quant Department - HO</cp:lastModifiedBy>
  <dcterms:created xsi:type="dcterms:W3CDTF">2026-08-11T03:42:39Z</dcterms:created>
  <dcterms:modified xsi:type="dcterms:W3CDTF">2026-08-11T08:03:13Z</dcterms:modified>
</cp:coreProperties>
</file>